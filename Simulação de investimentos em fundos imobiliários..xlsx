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os\Desktop\"/>
    </mc:Choice>
  </mc:AlternateContent>
  <xr:revisionPtr revIDLastSave="0" documentId="13_ncr:1_{CD68C013-C8EB-4F4F-93C9-0EB70D86CB5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shboard" sheetId="1" r:id="rId1"/>
    <sheet name="Alocação Estratégica" sheetId="2" r:id="rId2"/>
    <sheet name="Calculadora Financei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3" l="1"/>
  <c r="C29" i="3"/>
  <c r="C30" i="3"/>
  <c r="C31" i="3"/>
  <c r="C32" i="3"/>
  <c r="C27" i="3"/>
  <c r="D17" i="3"/>
  <c r="C39" i="3" s="1"/>
  <c r="D14" i="3"/>
  <c r="H13" i="1" s="1"/>
  <c r="D30" i="3" l="1"/>
  <c r="D21" i="3"/>
  <c r="D22" i="3" s="1"/>
  <c r="D27" i="3"/>
  <c r="D29" i="3"/>
  <c r="D28" i="3"/>
  <c r="D36" i="3"/>
  <c r="E36" i="3" s="1"/>
  <c r="D31" i="3"/>
  <c r="D32" i="3"/>
  <c r="C37" i="3"/>
  <c r="C36" i="3"/>
  <c r="D37" i="3"/>
  <c r="E37" i="3" s="1"/>
  <c r="C38" i="3"/>
  <c r="D38" i="3"/>
  <c r="E38" i="3" s="1"/>
  <c r="C35" i="3"/>
  <c r="D35" i="3"/>
  <c r="E35" i="3" s="1"/>
  <c r="D39" i="3"/>
  <c r="E39" i="3" s="1"/>
  <c r="E13" i="1" l="1"/>
  <c r="B13" i="1"/>
</calcChain>
</file>

<file path=xl/sharedStrings.xml><?xml version="1.0" encoding="utf-8"?>
<sst xmlns="http://schemas.openxmlformats.org/spreadsheetml/2006/main" count="94" uniqueCount="60">
  <si>
    <t>DASHBOARD DE PLANEJAMENTO FINANCEIRO E INDEPENDÊNCIA</t>
  </si>
  <si>
    <t>PATRIMÔNIO REAL (30 ANOS)</t>
  </si>
  <si>
    <t>RENDA MENSAL REAL (30 ANOS)</t>
  </si>
  <si>
    <t>RENDIMENTO REAL MENSAL</t>
  </si>
  <si>
    <t>COMO USAR ESTE DASHBOARD:</t>
  </si>
  <si>
    <t>1. Vá na aba 'Calculadora Financeira' para alterar seus dados (Salário, Aporte, Taxas).</t>
  </si>
  <si>
    <t>2. Selecione seu Perfil de Investidor na aba da Calculadora.</t>
  </si>
  <si>
    <t>3. Os gráficos e indicadores acima serão atualizados automaticamente.</t>
  </si>
  <si>
    <t>CHAVE</t>
  </si>
  <si>
    <t>PERFIL</t>
  </si>
  <si>
    <t>TIPO DE FII</t>
  </si>
  <si>
    <t>PERCENTUAL</t>
  </si>
  <si>
    <t>Conservador-PAPEL</t>
  </si>
  <si>
    <t>Conservador</t>
  </si>
  <si>
    <t>PAPEL</t>
  </si>
  <si>
    <t>Conservador-TIJOLO</t>
  </si>
  <si>
    <t>TIJOLO</t>
  </si>
  <si>
    <t>Conservador-HÍBRIDOS</t>
  </si>
  <si>
    <t>HÍBRIDOS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</si>
  <si>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</si>
  <si>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</si>
  <si>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</si>
  <si>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</si>
  <si>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</si>
  <si>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</si>
  <si>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</si>
  <si>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</si>
  <si>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</si>
  <si>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</si>
  <si>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</si>
  <si>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</si>
  <si>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</si>
  <si>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</si>
  <si>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</si>
  <si>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</si>
  <si>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</si>
  <si>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</si>
  <si>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</si>
  <si>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</si>
  <si>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VARIÁVEIS DE ENTRADA</t>
  </si>
  <si>
    <t>ALOCAÇÃO ESTRATÉGICA EM FIIs</t>
  </si>
  <si>
    <t>Salário Mensal</t>
  </si>
  <si>
    <t>Perfil Selecionado:</t>
  </si>
  <si>
    <t>Rendimento Mensal Nominal (%)</t>
  </si>
  <si>
    <t>Inflação Mensal Estimada (%)</t>
  </si>
  <si>
    <t>TIPO</t>
  </si>
  <si>
    <t>% de Investimento Sugerido</t>
  </si>
  <si>
    <t>Taxa Real Mensal (Fisher)</t>
  </si>
  <si>
    <t>INVESTIMENTO MENSAL</t>
  </si>
  <si>
    <t>Valor a Investir por Mês</t>
  </si>
  <si>
    <t>Tempo (Anos)</t>
  </si>
  <si>
    <t>Patrimônio Real</t>
  </si>
  <si>
    <t>Cenários (Anos)</t>
  </si>
  <si>
    <t>Patrimônio (Nominal)</t>
  </si>
  <si>
    <t>Dividendos Mensais (Reais)</t>
  </si>
  <si>
    <t>Percentual (%)</t>
  </si>
  <si>
    <t>RESULTADOS (PODER DE COMPRA REAL)</t>
  </si>
  <si>
    <t>Patrimônio Acumulado Real</t>
  </si>
  <si>
    <t>Dividendos Mensais Reais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</si>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</sst>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4"/>
      <color rgb="FF1F4E78"/>
      <name val="Calibri"/>
      <family val="2"/>
    </font>
    <font>
      <b/>
      <sz val="14"/>
      <color rgb="FF385723"/>
      <name val="Calibri"/>
      <family val="2"/>
    </font>
    <font>
      <b/>
      <sz val="14"/>
      <color rgb="FFC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5664"/>
        <bgColor rgb="FF1F4E78"/>
      </patternFill>
    </fill>
    <fill>
      <patternFill patternType="solid">
        <fgColor rgb="FF1A566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0" fontId="6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164" fontId="0" fillId="0" borderId="5" xfId="0" applyNumberFormat="1" applyBorder="1"/>
    <xf numFmtId="10" fontId="0" fillId="0" borderId="5" xfId="0" applyNumberFormat="1" applyBorder="1"/>
    <xf numFmtId="0" fontId="2" fillId="0" borderId="6" xfId="0" applyFont="1" applyBorder="1"/>
    <xf numFmtId="0" fontId="0" fillId="0" borderId="7" xfId="0" applyBorder="1"/>
    <xf numFmtId="10" fontId="0" fillId="0" borderId="8" xfId="0" applyNumberFormat="1" applyBorder="1"/>
    <xf numFmtId="164" fontId="0" fillId="0" borderId="0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9" fontId="0" fillId="0" borderId="0" xfId="0" applyNumberFormat="1" applyBorder="1"/>
    <xf numFmtId="9" fontId="0" fillId="0" borderId="7" xfId="0" applyNumberFormat="1" applyBorder="1"/>
    <xf numFmtId="164" fontId="0" fillId="0" borderId="8" xfId="0" applyNumberFormat="1" applyBorder="1"/>
    <xf numFmtId="0" fontId="10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9" fillId="5" borderId="5" xfId="0" applyFont="1" applyFill="1" applyBorder="1"/>
    <xf numFmtId="0" fontId="2" fillId="6" borderId="4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8" fillId="4" borderId="4" xfId="0" applyFont="1" applyFill="1" applyBorder="1"/>
    <xf numFmtId="0" fontId="8" fillId="4" borderId="0" xfId="0" applyFont="1" applyFill="1" applyBorder="1" applyAlignment="1">
      <alignment horizontal="right"/>
    </xf>
    <xf numFmtId="9" fontId="0" fillId="0" borderId="0" xfId="1" applyFont="1"/>
    <xf numFmtId="9" fontId="0" fillId="0" borderId="7" xfId="1" applyFont="1" applyBorder="1"/>
    <xf numFmtId="0" fontId="9" fillId="7" borderId="0" xfId="0" applyFont="1" applyFill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1A5664"/>
      <color rgb="FFBAD0BC"/>
      <color rgb="FFABD2A6"/>
      <color rgb="FF95CFE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/>
              <a:t>Evolução do Patrimônio: Nominal vs Real (Poder de Compra)</a:t>
            </a:r>
          </a:p>
        </c:rich>
      </c:tx>
      <c:layout>
        <c:manualLayout>
          <c:xMode val="edge"/>
          <c:yMode val="edge"/>
          <c:x val="0.16653666666666664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'Calculadora Financeira'!$C$34</c:f>
              <c:strCache>
                <c:ptCount val="1"/>
                <c:pt idx="0">
                  <c:v>Patrimônio (Nominal)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numRef>
              <c:f>'Calculadora Financeira'!$B$35:$B$39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'Calculadora Financeira'!$C$35:$C$39</c:f>
              <c:numCache>
                <c:formatCode>"R$"\ #,##0.00</c:formatCode>
                <c:ptCount val="5"/>
                <c:pt idx="0">
                  <c:v>32368.157823829799</c:v>
                </c:pt>
                <c:pt idx="1">
                  <c:v>98003.603827690953</c:v>
                </c:pt>
                <c:pt idx="2">
                  <c:v>276046.4273488404</c:v>
                </c:pt>
                <c:pt idx="3">
                  <c:v>1187106.4384648355</c:v>
                </c:pt>
                <c:pt idx="4">
                  <c:v>4193956.9593222076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64-4DBC-B167-1E42E021B0FD}"/>
            </c:ext>
          </c:extLst>
        </c:ser>
        <c:ser>
          <c:idx val="1"/>
          <c:order val="1"/>
          <c:tx>
            <c:strRef>
              <c:f>'Calculadora Financeira'!$D$34</c:f>
              <c:strCache>
                <c:ptCount val="1"/>
                <c:pt idx="0">
                  <c:v>Patrimônio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numRef>
              <c:f>'Calculadora Financeira'!$B$35:$B$39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'Calculadora Financeira'!$D$35:$D$39</c:f>
              <c:numCache>
                <c:formatCode>"R$"\ #,##0.00</c:formatCode>
                <c:ptCount val="5"/>
                <c:pt idx="0">
                  <c:v>31050.750657041091</c:v>
                </c:pt>
                <c:pt idx="1">
                  <c:v>87652.002176073322</c:v>
                </c:pt>
                <c:pt idx="2">
                  <c:v>216774.42260126016</c:v>
                </c:pt>
                <c:pt idx="3">
                  <c:v>687196.47592142783</c:v>
                </c:pt>
                <c:pt idx="4">
                  <c:v>1708059.1108874597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64-4DBC-B167-1E42E021B0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Projeção de Renda Mensal Real (Dividendos)</a:t>
            </a:r>
          </a:p>
        </c:rich>
      </c:tx>
      <c:layout>
        <c:manualLayout>
          <c:xMode val="edge"/>
          <c:yMode val="edge"/>
          <c:x val="0.13099158190638838"/>
          <c:y val="3.527777777777777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'Calculadora Financeira'!$E$34</c:f>
              <c:strCache>
                <c:ptCount val="1"/>
                <c:pt idx="0">
                  <c:v>Dividendos Mensais (Reais)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97-404E-B29B-BE7352D8D04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97-404E-B29B-BE7352D8D04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97-404E-B29B-BE7352D8D04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97-404E-B29B-BE7352D8D047}"/>
              </c:ext>
            </c:extLst>
          </c:dPt>
          <c:dLbls>
            <c:dLbl>
              <c:idx val="1"/>
              <c:layout>
                <c:manualLayout>
                  <c:x val="-2.5591810620601407E-3"/>
                  <c:y val="2.04380555555554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97-404E-B29B-BE7352D8D047}"/>
                </c:ext>
              </c:extLst>
            </c:dLbl>
            <c:dLbl>
              <c:idx val="2"/>
              <c:layout>
                <c:manualLayout>
                  <c:x val="-2.5591810620602348E-3"/>
                  <c:y val="7.00277777777764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97-404E-B29B-BE7352D8D047}"/>
                </c:ext>
              </c:extLst>
            </c:dLbl>
            <c:dLbl>
              <c:idx val="3"/>
              <c:layout>
                <c:manualLayout>
                  <c:x val="0"/>
                  <c:y val="1.05305555555555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97-404E-B29B-BE7352D8D047}"/>
                </c:ext>
              </c:extLst>
            </c:dLbl>
            <c:dLbl>
              <c:idx val="4"/>
              <c:layout>
                <c:manualLayout>
                  <c:x val="9.3835554945867131E-17"/>
                  <c:y val="1.40583333333333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97-404E-B29B-BE7352D8D0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'Calculadora Financeira'!$B$35:$B$39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'Calculadora Financeira'!$E$35:$E$39</c:f>
              <c:numCache>
                <c:formatCode>"R$"\ #,##0.00</c:formatCode>
                <c:ptCount val="5"/>
                <c:pt idx="0">
                  <c:v>201.12593848606261</c:v>
                </c:pt>
                <c:pt idx="1">
                  <c:v>567.75088604331575</c:v>
                </c:pt>
                <c:pt idx="2">
                  <c:v>1404.119329255773</c:v>
                </c:pt>
                <c:pt idx="3">
                  <c:v>4451.1979008362814</c:v>
                </c:pt>
                <c:pt idx="4">
                  <c:v>11063.661405847841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7-404E-B29B-BE7352D8D0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Renda Mensal (R$)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180975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4962525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590550</xdr:colOff>
      <xdr:row>0</xdr:row>
      <xdr:rowOff>47625</xdr:rowOff>
    </xdr:from>
    <xdr:to>
      <xdr:col>12</xdr:col>
      <xdr:colOff>828674</xdr:colOff>
      <xdr:row>6</xdr:row>
      <xdr:rowOff>184896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A584B58-316D-AF1E-A2DD-2C6D5056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47625"/>
          <a:ext cx="10725149" cy="12802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57150</xdr:rowOff>
    </xdr:from>
    <xdr:to>
      <xdr:col>5</xdr:col>
      <xdr:colOff>38101</xdr:colOff>
      <xdr:row>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90AF6E-22A5-449E-BA63-FE443CFA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57150"/>
          <a:ext cx="7839076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M38"/>
  <sheetViews>
    <sheetView showGridLines="0" topLeftCell="A4" workbookViewId="0">
      <selection activeCell="G22" sqref="G22"/>
    </sheetView>
  </sheetViews>
  <sheetFormatPr defaultRowHeight="15" x14ac:dyDescent="0.25"/>
  <cols>
    <col min="2" max="2" width="25" customWidth="1"/>
    <col min="5" max="5" width="25" customWidth="1"/>
    <col min="8" max="8" width="25" customWidth="1"/>
    <col min="13" max="13" width="12.85546875" customWidth="1"/>
    <col min="14" max="14" width="8.85546875" customWidth="1"/>
  </cols>
  <sheetData>
    <row r="9" spans="2:13" x14ac:dyDescent="0.25">
      <c r="B9" s="28" t="s">
        <v>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7"/>
    </row>
    <row r="10" spans="2:13" x14ac:dyDescent="0.25"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7"/>
    </row>
    <row r="12" spans="2:13" x14ac:dyDescent="0.25">
      <c r="B12" s="1" t="s">
        <v>1</v>
      </c>
      <c r="E12" s="1" t="s">
        <v>2</v>
      </c>
      <c r="H12" s="1" t="s">
        <v>3</v>
      </c>
    </row>
    <row r="13" spans="2:13" ht="18.75" x14ac:dyDescent="0.3">
      <c r="B13" s="2">
        <f>'Calculadora Financeira'!D39</f>
        <v>1708059.1108874597</v>
      </c>
      <c r="E13" s="3">
        <f>'Calculadora Financeira'!E39</f>
        <v>11063.661405847841</v>
      </c>
      <c r="H13" s="4">
        <f>'Calculadora Financeira'!D14</f>
        <v>6.4773293472843996E-3</v>
      </c>
    </row>
    <row r="35" spans="2:2" x14ac:dyDescent="0.25">
      <c r="B35" s="1" t="s">
        <v>4</v>
      </c>
    </row>
    <row r="36" spans="2:2" x14ac:dyDescent="0.25">
      <c r="B36" t="s">
        <v>5</v>
      </c>
    </row>
    <row r="37" spans="2:2" x14ac:dyDescent="0.25">
      <c r="B37" t="s">
        <v>6</v>
      </c>
    </row>
    <row r="38" spans="2:2" x14ac:dyDescent="0.25">
      <c r="B38" t="s">
        <v>7</v>
      </c>
    </row>
  </sheetData>
  <mergeCells count="1">
    <mergeCell ref="B9:L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F4" sqref="F4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16.42578125" customWidth="1"/>
  </cols>
  <sheetData>
    <row r="1" spans="1:4" x14ac:dyDescent="0.25">
      <c r="A1" s="38" t="s">
        <v>8</v>
      </c>
      <c r="B1" s="38" t="s">
        <v>9</v>
      </c>
      <c r="C1" s="38" t="s">
        <v>10</v>
      </c>
      <c r="D1" s="38" t="s">
        <v>11</v>
      </c>
    </row>
    <row r="2" spans="1:4" x14ac:dyDescent="0.25">
      <c r="A2" t="s">
        <v>12</v>
      </c>
      <c r="B2" t="s">
        <v>13</v>
      </c>
      <c r="C2" t="s">
        <v>14</v>
      </c>
      <c r="D2" s="36">
        <v>0.3</v>
      </c>
    </row>
    <row r="3" spans="1:4" x14ac:dyDescent="0.25">
      <c r="A3" t="s">
        <v>15</v>
      </c>
      <c r="B3" t="s">
        <v>13</v>
      </c>
      <c r="C3" t="s">
        <v>16</v>
      </c>
      <c r="D3" s="36">
        <v>0.5</v>
      </c>
    </row>
    <row r="4" spans="1:4" x14ac:dyDescent="0.25">
      <c r="A4" t="s">
        <v>17</v>
      </c>
      <c r="B4" t="s">
        <v>13</v>
      </c>
      <c r="C4" t="s">
        <v>18</v>
      </c>
      <c r="D4" s="36">
        <v>0.1</v>
      </c>
    </row>
    <row r="5" spans="1:4" x14ac:dyDescent="0.25">
      <c r="A5" t="s">
        <v>19</v>
      </c>
      <c r="B5" t="s">
        <v>13</v>
      </c>
      <c r="C5" t="s">
        <v>20</v>
      </c>
      <c r="D5" s="36">
        <v>0.1</v>
      </c>
    </row>
    <row r="6" spans="1:4" x14ac:dyDescent="0.25">
      <c r="A6" t="s">
        <v>21</v>
      </c>
      <c r="B6" t="s">
        <v>13</v>
      </c>
      <c r="C6" t="s">
        <v>22</v>
      </c>
      <c r="D6" s="36">
        <v>0</v>
      </c>
    </row>
    <row r="7" spans="1:4" ht="15.75" thickBot="1" x14ac:dyDescent="0.3">
      <c r="A7" s="15" t="s">
        <v>23</v>
      </c>
      <c r="B7" s="15" t="s">
        <v>13</v>
      </c>
      <c r="C7" s="15" t="s">
        <v>24</v>
      </c>
      <c r="D7" s="37">
        <v>0</v>
      </c>
    </row>
    <row r="8" spans="1:4" x14ac:dyDescent="0.25">
      <c r="A8" t="s">
        <v>25</v>
      </c>
      <c r="B8" t="s">
        <v>26</v>
      </c>
      <c r="C8" t="s">
        <v>14</v>
      </c>
      <c r="D8" s="36">
        <v>0.32</v>
      </c>
    </row>
    <row r="9" spans="1:4" x14ac:dyDescent="0.25">
      <c r="A9" t="s">
        <v>27</v>
      </c>
      <c r="B9" t="s">
        <v>26</v>
      </c>
      <c r="C9" t="s">
        <v>16</v>
      </c>
      <c r="D9" s="36">
        <v>0.35</v>
      </c>
    </row>
    <row r="10" spans="1:4" x14ac:dyDescent="0.25">
      <c r="A10" t="s">
        <v>28</v>
      </c>
      <c r="B10" t="s">
        <v>26</v>
      </c>
      <c r="C10" t="s">
        <v>18</v>
      </c>
      <c r="D10" s="36">
        <v>0.08</v>
      </c>
    </row>
    <row r="11" spans="1:4" x14ac:dyDescent="0.25">
      <c r="A11" t="s">
        <v>29</v>
      </c>
      <c r="B11" t="s">
        <v>26</v>
      </c>
      <c r="C11" t="s">
        <v>20</v>
      </c>
      <c r="D11" s="36">
        <v>0.05</v>
      </c>
    </row>
    <row r="12" spans="1:4" x14ac:dyDescent="0.25">
      <c r="A12" t="s">
        <v>30</v>
      </c>
      <c r="B12" t="s">
        <v>26</v>
      </c>
      <c r="C12" t="s">
        <v>22</v>
      </c>
      <c r="D12" s="36">
        <v>0.1</v>
      </c>
    </row>
    <row r="13" spans="1:4" ht="15.75" thickBot="1" x14ac:dyDescent="0.3">
      <c r="A13" s="15" t="s">
        <v>31</v>
      </c>
      <c r="B13" s="15" t="s">
        <v>26</v>
      </c>
      <c r="C13" s="15" t="s">
        <v>24</v>
      </c>
      <c r="D13" s="37">
        <v>0.1</v>
      </c>
    </row>
    <row r="14" spans="1:4" x14ac:dyDescent="0.25">
      <c r="A14" t="s">
        <v>32</v>
      </c>
      <c r="B14" t="s">
        <v>33</v>
      </c>
      <c r="C14" t="s">
        <v>14</v>
      </c>
      <c r="D14" s="36">
        <v>0.5</v>
      </c>
    </row>
    <row r="15" spans="1:4" x14ac:dyDescent="0.25">
      <c r="A15" t="s">
        <v>34</v>
      </c>
      <c r="B15" t="s">
        <v>33</v>
      </c>
      <c r="C15" t="s">
        <v>16</v>
      </c>
      <c r="D15" s="36">
        <v>0.1</v>
      </c>
    </row>
    <row r="16" spans="1:4" x14ac:dyDescent="0.25">
      <c r="A16" t="s">
        <v>35</v>
      </c>
      <c r="B16" t="s">
        <v>33</v>
      </c>
      <c r="C16" t="s">
        <v>18</v>
      </c>
      <c r="D16" s="36">
        <v>0.05</v>
      </c>
    </row>
    <row r="17" spans="1:4" x14ac:dyDescent="0.25">
      <c r="A17" t="s">
        <v>36</v>
      </c>
      <c r="B17" t="s">
        <v>33</v>
      </c>
      <c r="C17" t="s">
        <v>20</v>
      </c>
      <c r="D17" s="36">
        <v>0.05</v>
      </c>
    </row>
    <row r="18" spans="1:4" x14ac:dyDescent="0.25">
      <c r="A18" t="s">
        <v>37</v>
      </c>
      <c r="B18" t="s">
        <v>33</v>
      </c>
      <c r="C18" t="s">
        <v>22</v>
      </c>
      <c r="D18" s="36">
        <v>0.2</v>
      </c>
    </row>
    <row r="19" spans="1:4" x14ac:dyDescent="0.25">
      <c r="A19" t="s">
        <v>38</v>
      </c>
      <c r="B19" t="s">
        <v>33</v>
      </c>
      <c r="C19" t="s">
        <v>24</v>
      </c>
      <c r="D19" s="36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8:XFD39"/>
  <sheetViews>
    <sheetView showGridLines="0" tabSelected="1" topLeftCell="A24" workbookViewId="0">
      <selection activeCell="E19" sqref="E19"/>
    </sheetView>
  </sheetViews>
  <sheetFormatPr defaultColWidth="0" defaultRowHeight="15" x14ac:dyDescent="0.25"/>
  <cols>
    <col min="1" max="1" width="9.140625" customWidth="1"/>
    <col min="2" max="2" width="19" customWidth="1"/>
    <col min="3" max="3" width="28.28515625" customWidth="1"/>
    <col min="4" max="4" width="35" customWidth="1"/>
    <col min="5" max="5" width="34.42578125" customWidth="1"/>
    <col min="6" max="6" width="4.42578125" customWidth="1"/>
    <col min="7" max="7" width="20.5703125" hidden="1"/>
    <col min="8" max="8" width="21.5703125" hidden="1"/>
    <col min="9" max="9" width="16.28515625" hidden="1"/>
    <col min="10" max="16384" width="9.140625" hidden="1"/>
  </cols>
  <sheetData>
    <row r="8" spans="2:4" ht="15.75" thickBot="1" x14ac:dyDescent="0.3"/>
    <row r="9" spans="2:4" x14ac:dyDescent="0.25">
      <c r="B9" s="5" t="s">
        <v>39</v>
      </c>
      <c r="C9" s="6"/>
      <c r="D9" s="7"/>
    </row>
    <row r="10" spans="2:4" x14ac:dyDescent="0.25">
      <c r="B10" s="10" t="s">
        <v>41</v>
      </c>
      <c r="C10" s="11"/>
      <c r="D10" s="12">
        <v>6000</v>
      </c>
    </row>
    <row r="11" spans="2:4" x14ac:dyDescent="0.25">
      <c r="B11" s="10" t="s">
        <v>43</v>
      </c>
      <c r="C11" s="11"/>
      <c r="D11" s="13">
        <v>0.01</v>
      </c>
    </row>
    <row r="12" spans="2:4" x14ac:dyDescent="0.25">
      <c r="B12" s="10" t="s">
        <v>44</v>
      </c>
      <c r="C12" s="11"/>
      <c r="D12" s="13">
        <v>3.5000000000000001E-3</v>
      </c>
    </row>
    <row r="13" spans="2:4" x14ac:dyDescent="0.25">
      <c r="B13" s="10" t="s">
        <v>46</v>
      </c>
      <c r="C13" s="11"/>
      <c r="D13" s="13">
        <v>0.2</v>
      </c>
    </row>
    <row r="14" spans="2:4" ht="15.75" thickBot="1" x14ac:dyDescent="0.3">
      <c r="B14" s="14" t="s">
        <v>47</v>
      </c>
      <c r="C14" s="15"/>
      <c r="D14" s="16">
        <f>((1+D11)/(1+D12))-1</f>
        <v>6.4773293472843996E-3</v>
      </c>
    </row>
    <row r="15" spans="2:4" ht="15.75" thickBot="1" x14ac:dyDescent="0.3"/>
    <row r="16" spans="2:4" x14ac:dyDescent="0.25">
      <c r="B16" s="5" t="s">
        <v>48</v>
      </c>
      <c r="C16" s="6"/>
      <c r="D16" s="7"/>
    </row>
    <row r="17" spans="2:8" x14ac:dyDescent="0.25">
      <c r="B17" s="10" t="s">
        <v>49</v>
      </c>
      <c r="C17" s="11"/>
      <c r="D17" s="12">
        <f>D10*D13</f>
        <v>1200</v>
      </c>
    </row>
    <row r="18" spans="2:8" ht="15.75" thickBot="1" x14ac:dyDescent="0.3">
      <c r="B18" s="18" t="s">
        <v>50</v>
      </c>
      <c r="C18" s="15"/>
      <c r="D18" s="20">
        <v>5</v>
      </c>
    </row>
    <row r="19" spans="2:8" ht="15.75" thickBot="1" x14ac:dyDescent="0.3">
      <c r="F19" s="11"/>
      <c r="G19" s="21"/>
      <c r="H19" s="17"/>
    </row>
    <row r="20" spans="2:8" x14ac:dyDescent="0.25">
      <c r="B20" s="5" t="s">
        <v>56</v>
      </c>
      <c r="C20" s="6"/>
      <c r="D20" s="7"/>
      <c r="F20" s="11"/>
      <c r="G20" s="21"/>
      <c r="H20" s="17"/>
    </row>
    <row r="21" spans="2:8" x14ac:dyDescent="0.25">
      <c r="B21" s="10" t="s">
        <v>57</v>
      </c>
      <c r="D21" s="12">
        <f>FV(D14, D18*12, -D17)</f>
        <v>87652.002176073322</v>
      </c>
    </row>
    <row r="22" spans="2:8" ht="15.75" thickBot="1" x14ac:dyDescent="0.3">
      <c r="B22" s="18" t="s">
        <v>58</v>
      </c>
      <c r="C22" s="15"/>
      <c r="D22" s="23">
        <f>D21*D14</f>
        <v>567.75088604331575</v>
      </c>
    </row>
    <row r="23" spans="2:8" ht="15.75" thickBot="1" x14ac:dyDescent="0.3">
      <c r="F23" s="11"/>
    </row>
    <row r="24" spans="2:8" x14ac:dyDescent="0.25">
      <c r="B24" s="5" t="s">
        <v>40</v>
      </c>
      <c r="C24" s="25"/>
      <c r="D24" s="26"/>
    </row>
    <row r="25" spans="2:8" x14ac:dyDescent="0.25">
      <c r="B25" s="34" t="s">
        <v>42</v>
      </c>
      <c r="C25" s="35" t="s">
        <v>13</v>
      </c>
      <c r="D25" s="30"/>
    </row>
    <row r="26" spans="2:8" x14ac:dyDescent="0.25">
      <c r="B26" s="31" t="s">
        <v>45</v>
      </c>
      <c r="C26" s="32" t="s">
        <v>55</v>
      </c>
      <c r="D26" s="33" t="s">
        <v>59</v>
      </c>
    </row>
    <row r="27" spans="2:8" x14ac:dyDescent="0.25">
      <c r="B27" s="10" t="s">
        <v>14</v>
      </c>
      <c r="C27" s="21">
        <f>VLOOKUP($C$25&amp;"-"&amp;B27, 'Alocação Estratégica'!$A$2:$D$19, 4, FALSE)</f>
        <v>0.3</v>
      </c>
      <c r="D27" s="12">
        <f t="shared" ref="D27:D32" si="0">C27*$D$17</f>
        <v>360</v>
      </c>
    </row>
    <row r="28" spans="2:8" x14ac:dyDescent="0.25">
      <c r="B28" s="10" t="s">
        <v>16</v>
      </c>
      <c r="C28" s="21">
        <f>VLOOKUP($C$25&amp;"-"&amp;B28, 'Alocação Estratégica'!$A$2:$D$19, 4, FALSE)</f>
        <v>0.5</v>
      </c>
      <c r="D28" s="12">
        <f t="shared" si="0"/>
        <v>600</v>
      </c>
    </row>
    <row r="29" spans="2:8" x14ac:dyDescent="0.25">
      <c r="B29" s="10" t="s">
        <v>18</v>
      </c>
      <c r="C29" s="21">
        <f>VLOOKUP($C$25&amp;"-"&amp;B29, 'Alocação Estratégica'!$A$2:$D$19, 4, FALSE)</f>
        <v>0.1</v>
      </c>
      <c r="D29" s="12">
        <f t="shared" si="0"/>
        <v>120</v>
      </c>
    </row>
    <row r="30" spans="2:8" x14ac:dyDescent="0.25">
      <c r="B30" s="10" t="s">
        <v>20</v>
      </c>
      <c r="C30" s="21">
        <f>VLOOKUP($C$25&amp;"-"&amp;B30, 'Alocação Estratégica'!$A$2:$D$19, 4, FALSE)</f>
        <v>0.1</v>
      </c>
      <c r="D30" s="12">
        <f t="shared" si="0"/>
        <v>120</v>
      </c>
    </row>
    <row r="31" spans="2:8" x14ac:dyDescent="0.25">
      <c r="B31" s="10" t="s">
        <v>22</v>
      </c>
      <c r="C31" s="21">
        <f>VLOOKUP($C$25&amp;"-"&amp;B31, 'Alocação Estratégica'!$A$2:$D$19, 4, FALSE)</f>
        <v>0</v>
      </c>
      <c r="D31" s="12">
        <f t="shared" si="0"/>
        <v>0</v>
      </c>
    </row>
    <row r="32" spans="2:8" ht="15.75" thickBot="1" x14ac:dyDescent="0.3">
      <c r="B32" s="18" t="s">
        <v>24</v>
      </c>
      <c r="C32" s="22">
        <f>VLOOKUP($C$25&amp;"-"&amp;B32, 'Alocação Estratégica'!$A$2:$D$19, 4, FALSE)</f>
        <v>0</v>
      </c>
      <c r="D32" s="23">
        <f t="shared" si="0"/>
        <v>0</v>
      </c>
    </row>
    <row r="33" spans="2:5" ht="15.75" thickBot="1" x14ac:dyDescent="0.3"/>
    <row r="34" spans="2:5" x14ac:dyDescent="0.25">
      <c r="B34" s="8" t="s">
        <v>52</v>
      </c>
      <c r="C34" s="9" t="s">
        <v>53</v>
      </c>
      <c r="D34" s="9" t="s">
        <v>51</v>
      </c>
      <c r="E34" s="24" t="s">
        <v>54</v>
      </c>
    </row>
    <row r="35" spans="2:5" x14ac:dyDescent="0.25">
      <c r="B35" s="10">
        <v>2</v>
      </c>
      <c r="C35" s="17">
        <f>FV($D$11, B35*12, -$D$17)</f>
        <v>32368.157823829799</v>
      </c>
      <c r="D35" s="17">
        <f>FV($D$14, B35*12, -$D$17)</f>
        <v>31050.750657041091</v>
      </c>
      <c r="E35" s="12">
        <f>D35*$D$14</f>
        <v>201.12593848606261</v>
      </c>
    </row>
    <row r="36" spans="2:5" x14ac:dyDescent="0.25">
      <c r="B36" s="10">
        <v>5</v>
      </c>
      <c r="C36" s="17">
        <f>FV($D$11, B36*12, -$D$17)</f>
        <v>98003.603827690953</v>
      </c>
      <c r="D36" s="17">
        <f>FV($D$14, B36*12, -$D$17)</f>
        <v>87652.002176073322</v>
      </c>
      <c r="E36" s="12">
        <f>D36*$D$14</f>
        <v>567.75088604331575</v>
      </c>
    </row>
    <row r="37" spans="2:5" x14ac:dyDescent="0.25">
      <c r="B37" s="10">
        <v>10</v>
      </c>
      <c r="C37" s="17">
        <f>FV($D$11, B37*12, -$D$17)</f>
        <v>276046.4273488404</v>
      </c>
      <c r="D37" s="17">
        <f>FV($D$14, B37*12, -$D$17)</f>
        <v>216774.42260126016</v>
      </c>
      <c r="E37" s="12">
        <f>D37*$D$14</f>
        <v>1404.119329255773</v>
      </c>
    </row>
    <row r="38" spans="2:5" x14ac:dyDescent="0.25">
      <c r="B38" s="10">
        <v>20</v>
      </c>
      <c r="C38" s="17">
        <f>FV($D$11, B38*12, -$D$17)</f>
        <v>1187106.4384648355</v>
      </c>
      <c r="D38" s="17">
        <f>FV($D$14, B38*12, -$D$17)</f>
        <v>687196.47592142783</v>
      </c>
      <c r="E38" s="12">
        <f>D38*$D$14</f>
        <v>4451.1979008362814</v>
      </c>
    </row>
    <row r="39" spans="2:5" ht="15.75" thickBot="1" x14ac:dyDescent="0.3">
      <c r="B39" s="18">
        <v>30</v>
      </c>
      <c r="C39" s="19">
        <f>FV($D$11, B39*12, -$D$17)</f>
        <v>4193956.9593222076</v>
      </c>
      <c r="D39" s="19">
        <f>FV($D$14, B39*12, -$D$17)</f>
        <v>1708059.1108874597</v>
      </c>
      <c r="E39" s="23">
        <f>D39*$D$14</f>
        <v>11063.661405847841</v>
      </c>
    </row>
  </sheetData>
  <mergeCells count="4">
    <mergeCell ref="B24:D24"/>
    <mergeCell ref="B16:D16"/>
    <mergeCell ref="B9:D9"/>
    <mergeCell ref="B20:D20"/>
  </mergeCells>
  <dataValidations count="2">
    <dataValidation type="list" showDropDown="1" sqref="D25" xr:uid="{00000000-0002-0000-0200-000000000000}">
      <formula1>"Conservador,Moderado,Agressivo"</formula1>
    </dataValidation>
    <dataValidation type="list" allowBlank="1" showInputMessage="1" showErrorMessage="1" sqref="C25" xr:uid="{D0059736-DC4F-4845-920A-C755DA9D3D66}">
      <formula1>"Conservador,Moderado,Agressivo"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Alocação Estratégica</vt:lpstr>
      <vt:lpstr>Calculadora Financeira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ROBERTO MACIEL</cp:lastModifiedBy>
  <dcterms:created xsi:type="dcterms:W3CDTF">2026-01-30T03:18:39Z</dcterms:created>
  <dcterms:modified xsi:type="dcterms:W3CDTF">2026-01-30T04:43:00Z</dcterms:modified>
</cp:coreProperties>
</file>